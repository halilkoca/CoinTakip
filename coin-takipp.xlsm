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ven\Desktop\"/>
    </mc:Choice>
  </mc:AlternateContent>
  <xr:revisionPtr revIDLastSave="0" documentId="13_ncr:1_{78662718-3D1B-409D-BAAE-162A88A78E2A}" xr6:coauthVersionLast="45" xr6:coauthVersionMax="45" xr10:uidLastSave="{00000000-0000-0000-0000-000000000000}"/>
  <bookViews>
    <workbookView xWindow="-120" yWindow="-120" windowWidth="29040" windowHeight="15840" xr2:uid="{9491BEDA-73B4-4A73-B9B3-1EB4D6570677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2" l="1"/>
  <c r="I9" i="2" s="1"/>
  <c r="J9" i="2" s="1"/>
  <c r="K9" i="2" s="1"/>
  <c r="F9" i="2"/>
  <c r="H8" i="2"/>
  <c r="I8" i="2" s="1"/>
  <c r="J8" i="2" s="1"/>
  <c r="K8" i="2" s="1"/>
  <c r="F8" i="2"/>
  <c r="H6" i="2"/>
  <c r="L8" i="2" l="1"/>
  <c r="L9" i="2"/>
  <c r="H7" i="2"/>
  <c r="H5" i="2"/>
  <c r="I7" i="2" l="1"/>
  <c r="J7" i="2" s="1"/>
  <c r="I6" i="2"/>
  <c r="J6" i="2" s="1"/>
  <c r="I5" i="2"/>
  <c r="F7" i="2"/>
  <c r="F6" i="2"/>
  <c r="K7" i="2" l="1"/>
  <c r="L7" i="2" s="1"/>
  <c r="F3" i="2"/>
  <c r="K6" i="2"/>
  <c r="J3" i="2"/>
  <c r="K3" i="2" l="1"/>
  <c r="L6" i="2"/>
  <c r="L3" i="2" s="1"/>
</calcChain>
</file>

<file path=xl/sharedStrings.xml><?xml version="1.0" encoding="utf-8"?>
<sst xmlns="http://schemas.openxmlformats.org/spreadsheetml/2006/main" count="20" uniqueCount="20">
  <si>
    <t>BTC</t>
  </si>
  <si>
    <t>HARD</t>
  </si>
  <si>
    <t>SXP</t>
  </si>
  <si>
    <t>TOTAL</t>
  </si>
  <si>
    <t>COIN WEBSERVICE</t>
  </si>
  <si>
    <t>CRO</t>
  </si>
  <si>
    <t>MYCOIN</t>
  </si>
  <si>
    <t>There is a security warning on the top, it must be Enabled because it connects to the HUOBI and BINANCE API</t>
  </si>
  <si>
    <t>first edit with your own coins in the left column</t>
  </si>
  <si>
    <t>Make F2 to H6 column</t>
  </si>
  <si>
    <t>symbol =</t>
  </si>
  <si>
    <t>then write your symbol after symbol =</t>
  </si>
  <si>
    <t>press enter</t>
  </si>
  <si>
    <t>Clicking the Update button will all update automatically</t>
  </si>
  <si>
    <t>COIN PRICE</t>
  </si>
  <si>
    <t>P/L</t>
  </si>
  <si>
    <t>PERCENT</t>
  </si>
  <si>
    <t>BUY TOTAL</t>
  </si>
  <si>
    <t>BUY QUANTITY</t>
  </si>
  <si>
    <t>BUY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</si>
</sst>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</xdr:row>
          <xdr:rowOff>142875</xdr:rowOff>
        </xdr:from>
        <xdr:to>
          <xdr:col>7</xdr:col>
          <xdr:colOff>1866900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1EB81-4239-48D0-A29C-99EEE7DE5399}">
  <sheetPr codeName="Sheet1"/>
  <dimension ref="B1:N11"/>
  <sheetViews>
    <sheetView tabSelected="1" zoomScaleNormal="100" workbookViewId="0">
      <selection activeCell="H11" sqref="H11"/>
    </sheetView>
  </sheetViews>
  <sheetFormatPr defaultRowHeight="15" x14ac:dyDescent="0.25"/>
  <cols>
    <col min="1" max="1" width="5.28515625" customWidth="1"/>
    <col min="2" max="2" width="9" customWidth="1"/>
    <col min="3" max="3" width="2.7109375" customWidth="1"/>
    <col min="4" max="4" width="10.5703125" bestFit="1" customWidth="1"/>
    <col min="5" max="5" width="9.7109375" bestFit="1" customWidth="1"/>
    <col min="6" max="6" width="11" bestFit="1" customWidth="1"/>
    <col min="7" max="7" width="3.5703125" customWidth="1"/>
    <col min="8" max="8" width="46.85546875" customWidth="1"/>
    <col min="9" max="9" width="17" customWidth="1"/>
    <col min="10" max="10" width="13.140625" customWidth="1"/>
    <col min="11" max="11" width="13.28515625" customWidth="1"/>
    <col min="12" max="12" width="12" customWidth="1"/>
  </cols>
  <sheetData>
    <row r="1" spans="2:14" x14ac:dyDescent="0.25">
      <c r="B1" s="1"/>
      <c r="D1" t="s">
        <v>19</v>
      </c>
      <c r="E1" t="s">
        <v>18</v>
      </c>
      <c r="F1" t="s">
        <v>17</v>
      </c>
      <c r="H1" t="s">
        <v>4</v>
      </c>
      <c r="I1" t="s">
        <v>14</v>
      </c>
      <c r="J1" t="s">
        <v>3</v>
      </c>
      <c r="K1" t="s">
        <v>15</v>
      </c>
      <c r="L1" t="s">
        <v>16</v>
      </c>
    </row>
    <row r="2" spans="2:14" x14ac:dyDescent="0.25">
      <c r="N2" t="s">
        <v>7</v>
      </c>
    </row>
    <row r="3" spans="2:14" x14ac:dyDescent="0.25">
      <c r="F3">
        <f>SUM(F6:F14,F15:F19)</f>
        <v>596.30062800000007</v>
      </c>
      <c r="J3">
        <f>SUM(J6:J14,J15:J19)</f>
        <v>121440898.977501</v>
      </c>
      <c r="K3">
        <f>SUM(K6:K14,K15:K19)</f>
        <v>121440302.676873</v>
      </c>
      <c r="L3">
        <f>AVERAGE(L6:L19)</f>
        <v>12146206.278351801</v>
      </c>
      <c r="N3" t="s">
        <v>8</v>
      </c>
    </row>
    <row r="5" spans="2:14" x14ac:dyDescent="0.25">
      <c r="B5" t="s">
        <v>0</v>
      </c>
      <c r="H5" t="str">
        <f>_xlfn.WEBSERVICE("https://api.binance.com/api/v3/ticker/price?symbol=BTCUSDT")</f>
        <v>{"symbol":"BTCUSDT","price":"36048.96000000"}</v>
      </c>
      <c r="I5" t="str">
        <f t="shared" ref="I5:I7" si="0">MID(H5,FIND("price",H5,1)+8,(LEN(H5)-FIND("price",H5,1)-8)-1)</f>
        <v>36048.96000000</v>
      </c>
    </row>
    <row r="6" spans="2:14" x14ac:dyDescent="0.25">
      <c r="B6" t="s">
        <v>1</v>
      </c>
      <c r="D6">
        <v>0.51590000000000003</v>
      </c>
      <c r="E6">
        <v>100</v>
      </c>
      <c r="F6">
        <f>D6*E6</f>
        <v>51.59</v>
      </c>
      <c r="H6" t="str">
        <f>_xlfn.WEBSERVICE("https://api.binance.com/api/v3/ticker/price?symbol=HARDUSDT")</f>
        <v>{"symbol":"HARDUSDT","price":"0.60710000"}</v>
      </c>
      <c r="I6" t="str">
        <f t="shared" si="0"/>
        <v>0.60710000</v>
      </c>
      <c r="J6">
        <f>E6*I6</f>
        <v>60.709999999999994</v>
      </c>
      <c r="K6">
        <f>J6-F6</f>
        <v>9.1199999999999903</v>
      </c>
      <c r="L6">
        <f>100/(F6/K6)</f>
        <v>17.677844543516166</v>
      </c>
      <c r="N6" t="s">
        <v>9</v>
      </c>
    </row>
    <row r="7" spans="2:14" x14ac:dyDescent="0.25">
      <c r="B7" t="s">
        <v>2</v>
      </c>
      <c r="D7">
        <v>0.89600000000000002</v>
      </c>
      <c r="E7">
        <v>50</v>
      </c>
      <c r="F7">
        <f t="shared" ref="F7" si="1">D7*E7</f>
        <v>44.800000000000004</v>
      </c>
      <c r="H7" t="str">
        <f>_xlfn.WEBSERVICE("https://api.binance.com/api/v3/ticker/price?symbol=SXPUSDT")</f>
        <v>{"symbol":"SXPUSDT","price":"0.95900000"}</v>
      </c>
      <c r="I7" t="str">
        <f t="shared" si="0"/>
        <v>0.95900000</v>
      </c>
      <c r="J7">
        <f t="shared" ref="J7" si="2">E7*I7</f>
        <v>47.949999999999996</v>
      </c>
      <c r="K7">
        <f t="shared" ref="K7" si="3">J7-F7</f>
        <v>3.1499999999999915</v>
      </c>
      <c r="L7">
        <f t="shared" ref="L7" si="4">100/(F7/K7)</f>
        <v>7.0312499999999805</v>
      </c>
      <c r="N7" t="s">
        <v>10</v>
      </c>
    </row>
    <row r="8" spans="2:14" x14ac:dyDescent="0.25">
      <c r="B8" t="s">
        <v>5</v>
      </c>
      <c r="D8">
        <v>7.4200000000000002E-2</v>
      </c>
      <c r="E8">
        <v>3368.67</v>
      </c>
      <c r="F8">
        <f>D8*E8</f>
        <v>249.95531400000002</v>
      </c>
      <c r="H8" t="str">
        <f>_xlfn.WEBSERVICE("https://api.huobi.pro/market/trade?symbol=crousdt")</f>
        <v>{"ch":"market.crousdt.trade.detail","status":"ok","ts":1610903045588,"tick":{"id":100490354796,"ts":1610903042326,"data":[{"id":100490354796191188277938770,"ts":1610903042326,"trade-id":100021540065,"amount":23.42,"price":0.0803,"direction":"buy"},{"id":100490354796191188277938769,"ts":1610903042326,"trade-id":100021540064,"amount":587.23,"price":0.0803,"direction":"buy"},{"id":100490354796191188177152616,"ts":1610903042326,"trade-id":100021540063,"amount":545.39,"price":0.0803,"direction":"buy"},{"id":100490354796191189695713246,"ts":1610903042326,"trade-id":100021540062,"amount":571.87,"price":0.0803,"direction":"buy"}]}}</v>
      </c>
      <c r="I8" t="str">
        <f>MID(H8,FIND("price",H8,1)+7,((FIND("direction",H8)-1)-(FIND("price",H8)+8)))</f>
        <v>0.0803</v>
      </c>
      <c r="J8">
        <f>E8*I8</f>
        <v>270.50420099999997</v>
      </c>
      <c r="K8">
        <f>J8-F8</f>
        <v>20.548886999999951</v>
      </c>
      <c r="L8">
        <f>100/(F8/K8)</f>
        <v>8.221024258760087</v>
      </c>
      <c r="N8" t="s">
        <v>11</v>
      </c>
    </row>
    <row r="9" spans="2:14" x14ac:dyDescent="0.25">
      <c r="B9" t="s">
        <v>6</v>
      </c>
      <c r="D9">
        <v>7.4200000000000002E-2</v>
      </c>
      <c r="E9">
        <v>3368.67</v>
      </c>
      <c r="F9">
        <f>D9*E9</f>
        <v>249.95531400000002</v>
      </c>
      <c r="H9" t="str">
        <f>_xlfn.WEBSERVICE("https://api.huobi.pro/market/trade?symbol=btcusdt")</f>
        <v>{"ch":"market.btcusdt.trade.detail","status":"ok","ts":1610903045506,"tick":{"id":118919871543,"ts":1610903045192,"data":[{"id":118919871543191188193963211,"ts":1610903045192,"trade-id":102274201897,"amount":2.0E-4,"price":36049.99,"direction":"sell"}]}}</v>
      </c>
      <c r="I9" t="str">
        <f>MID(H9,FIND("price",H9,1)+7,((FIND("direction",H9)-1)-(FIND("price",H9)+8)))</f>
        <v>36049.99</v>
      </c>
      <c r="J9">
        <f>E9*I9</f>
        <v>121440519.8133</v>
      </c>
      <c r="K9">
        <f>J9-F9</f>
        <v>121440269.857986</v>
      </c>
      <c r="L9">
        <f>100/(F9/K9)</f>
        <v>48584792.183288403</v>
      </c>
      <c r="N9" t="s">
        <v>12</v>
      </c>
    </row>
    <row r="11" spans="2:14" x14ac:dyDescent="0.25">
      <c r="N11" t="s">
        <v>13</v>
      </c>
    </row>
  </sheetData>
  <conditionalFormatting sqref="K1:L7 K22:L1048576 K10:L20">
    <cfRule type="cellIs" dxfId="11" priority="10" operator="between">
      <formula>0.000000001</formula>
      <formula>9.99999999999999</formula>
    </cfRule>
    <cfRule type="cellIs" dxfId="10" priority="11" operator="lessThanOrEqual">
      <formula>0</formula>
    </cfRule>
    <cfRule type="cellIs" dxfId="9" priority="12" operator="greaterThanOrEqual">
      <formula>10</formula>
    </cfRule>
  </conditionalFormatting>
  <conditionalFormatting sqref="K21:L21">
    <cfRule type="cellIs" dxfId="8" priority="7" operator="between">
      <formula>0.000000001</formula>
      <formula>9.99999999999999</formula>
    </cfRule>
    <cfRule type="cellIs" dxfId="7" priority="8" operator="lessThanOrEqual">
      <formula>0</formula>
    </cfRule>
    <cfRule type="cellIs" dxfId="6" priority="9" operator="greaterThanOrEqual">
      <formula>10</formula>
    </cfRule>
  </conditionalFormatting>
  <conditionalFormatting sqref="K8:L8">
    <cfRule type="cellIs" dxfId="5" priority="4" operator="between">
      <formula>0.000000001</formula>
      <formula>9.99999999999999</formula>
    </cfRule>
    <cfRule type="cellIs" dxfId="4" priority="5" operator="lessThanOrEqual">
      <formula>0</formula>
    </cfRule>
    <cfRule type="cellIs" dxfId="3" priority="6" operator="greaterThanOrEqual">
      <formula>10</formula>
    </cfRule>
  </conditionalFormatting>
  <conditionalFormatting sqref="K9:L9">
    <cfRule type="cellIs" dxfId="2" priority="1" operator="between">
      <formula>0.000000001</formula>
      <formula>9.99999999999999</formula>
    </cfRule>
    <cfRule type="cellIs" dxfId="1" priority="2" operator="lessThanOrEqual">
      <formula>0</formula>
    </cfRule>
    <cfRule type="cellIs" dxfId="0" priority="3" operator="greaterThanOrEqual">
      <formula>10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yatGuncelle">
                <anchor moveWithCells="1">
                  <from>
                    <xdr:col>7</xdr:col>
                    <xdr:colOff>723900</xdr:colOff>
                    <xdr:row>1</xdr:row>
                    <xdr:rowOff>142875</xdr:rowOff>
                  </from>
                  <to>
                    <xdr:col>7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guven</dc:creator>
  <cp:lastModifiedBy>guven</cp:lastModifiedBy>
  <dcterms:created xsi:type="dcterms:W3CDTF">2021-01-16T11:04:51Z</dcterms:created>
  <dcterms:modified xsi:type="dcterms:W3CDTF">2021-01-17T17:05:09Z</dcterms:modified>
</cp:coreProperties>
</file>