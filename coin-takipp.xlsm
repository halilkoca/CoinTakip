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ven\Desktop\"/>
    </mc:Choice>
  </mc:AlternateContent>
  <xr:revisionPtr revIDLastSave="0" documentId="13_ncr:1_{FCF5F8B5-AE30-4AE3-B6EF-79EB6975C785}" xr6:coauthVersionLast="45" xr6:coauthVersionMax="45" xr10:uidLastSave="{00000000-0000-0000-0000-000000000000}"/>
  <bookViews>
    <workbookView xWindow="-120" yWindow="-120" windowWidth="29040" windowHeight="15840" xr2:uid="{9491BEDA-73B4-4A73-B9B3-1EB4D6570677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2" l="1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I20" i="2" l="1"/>
  <c r="J20" i="2" s="1"/>
  <c r="K20" i="2" s="1"/>
  <c r="F20" i="2"/>
  <c r="L20" i="2" l="1"/>
  <c r="I19" i="2" l="1"/>
  <c r="J19" i="2" s="1"/>
  <c r="K19" i="2" s="1"/>
  <c r="I18" i="2"/>
  <c r="J18" i="2" s="1"/>
  <c r="K18" i="2" s="1"/>
  <c r="I17" i="2"/>
  <c r="J17" i="2" s="1"/>
  <c r="K17" i="2" s="1"/>
  <c r="I16" i="2"/>
  <c r="J16" i="2" s="1"/>
  <c r="K16" i="2" s="1"/>
  <c r="I15" i="2"/>
  <c r="J15" i="2" s="1"/>
  <c r="K15" i="2" s="1"/>
  <c r="I14" i="2"/>
  <c r="J14" i="2" s="1"/>
  <c r="K14" i="2" s="1"/>
  <c r="I13" i="2"/>
  <c r="J13" i="2" s="1"/>
  <c r="K13" i="2" s="1"/>
  <c r="I12" i="2"/>
  <c r="J12" i="2" s="1"/>
  <c r="K12" i="2" s="1"/>
  <c r="I11" i="2"/>
  <c r="J11" i="2" s="1"/>
  <c r="K11" i="2" s="1"/>
  <c r="I10" i="2"/>
  <c r="J10" i="2" s="1"/>
  <c r="K10" i="2" s="1"/>
  <c r="I9" i="2"/>
  <c r="J9" i="2" s="1"/>
  <c r="K9" i="2" s="1"/>
  <c r="I8" i="2"/>
  <c r="J8" i="2" s="1"/>
  <c r="K8" i="2" s="1"/>
  <c r="I7" i="2"/>
  <c r="J7" i="2" s="1"/>
  <c r="K7" i="2" s="1"/>
  <c r="I6" i="2"/>
  <c r="J6" i="2" s="1"/>
  <c r="I5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3" i="2" l="1"/>
  <c r="L9" i="2"/>
  <c r="L10" i="2"/>
  <c r="L15" i="2"/>
  <c r="L11" i="2"/>
  <c r="L16" i="2"/>
  <c r="L12" i="2"/>
  <c r="L17" i="2"/>
  <c r="K6" i="2"/>
  <c r="K3" i="2" s="1"/>
  <c r="J3" i="2"/>
  <c r="L7" i="2"/>
  <c r="L13" i="2"/>
  <c r="L18" i="2"/>
  <c r="L8" i="2"/>
  <c r="L14" i="2"/>
  <c r="L19" i="2"/>
  <c r="L6" i="2" l="1"/>
  <c r="L3" i="2" s="1"/>
</calcChain>
</file>

<file path=xl/sharedStrings.xml><?xml version="1.0" encoding="utf-8"?>
<sst xmlns="http://schemas.openxmlformats.org/spreadsheetml/2006/main" count="46" uniqueCount="46">
  <si>
    <t>BTC</t>
  </si>
  <si>
    <t>HARD</t>
  </si>
  <si>
    <t>SXP</t>
  </si>
  <si>
    <t>AAVE</t>
  </si>
  <si>
    <t>ONT</t>
  </si>
  <si>
    <t>WAVES</t>
  </si>
  <si>
    <t>ADA</t>
  </si>
  <si>
    <t>CTXC</t>
  </si>
  <si>
    <t>CHZ</t>
  </si>
  <si>
    <t>YFII</t>
  </si>
  <si>
    <t>NEO</t>
  </si>
  <si>
    <t>TRX</t>
  </si>
  <si>
    <t>QTUM</t>
  </si>
  <si>
    <t>NANO</t>
  </si>
  <si>
    <t>XLM</t>
  </si>
  <si>
    <t>TOTAL</t>
  </si>
  <si>
    <t>FARK</t>
  </si>
  <si>
    <t>YÜZDE</t>
  </si>
  <si>
    <t>ALIŞ FIYATI</t>
  </si>
  <si>
    <t>ALIŞ ADET</t>
  </si>
  <si>
    <t>ALIŞ TOTAL</t>
  </si>
  <si>
    <t>H sütununa F2 yap</t>
  </si>
  <si>
    <t xml:space="preserve">symbol= </t>
  </si>
  <si>
    <t xml:space="preserve">sonra symbol= den sonrasına kendi symbolü yaz </t>
  </si>
  <si>
    <t>enter a bas</t>
  </si>
  <si>
    <t>ilk olarak sol sütunda kendi coinlerin ile düzenle</t>
  </si>
  <si>
    <t>bunlar benimkiler</t>
  </si>
  <si>
    <t>COIN WEBSERVICE</t>
  </si>
  <si>
    <t>COIN GUNCEL</t>
  </si>
  <si>
    <t>sonra asıl önemli olan yer</t>
  </si>
  <si>
    <t>üst sekmeden View e gel</t>
  </si>
  <si>
    <t>Macros -&gt; Record Macro</t>
  </si>
  <si>
    <t>Macro Name gir</t>
  </si>
  <si>
    <t>Sonra Ok de</t>
  </si>
  <si>
    <t>Ok deyince kayıt başlıyor</t>
  </si>
  <si>
    <t xml:space="preserve">Sonra H5 e git </t>
  </si>
  <si>
    <t>F2 ye bas ENTER a bas</t>
  </si>
  <si>
    <t>bu şekilde en sondaki coine kadar F2 + ENTER</t>
  </si>
  <si>
    <t>sonra macro kaydını durduracağız</t>
  </si>
  <si>
    <t xml:space="preserve">bunun için </t>
  </si>
  <si>
    <t>View Tabı -&gt; Macros -&gt; Stop Recording</t>
  </si>
  <si>
    <t>Sonra da Butona sağ klik -&gt; Assign Macro -&gt; Macronu Seç -&gt; OK</t>
  </si>
  <si>
    <t>Tamamdır Butona basınca kendisi güncelleyecek</t>
  </si>
  <si>
    <t>üstte güvenlik uyarısı var bu HUOBI ve BINANCE apilerine bağlandığı için Enable edilmesi lazım</t>
  </si>
  <si>
    <t>CRO</t>
  </si>
  <si>
    <t>en son farklı kaydet enable-macro XLSM formatında kaydedilir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</si>
</sst>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</xdr:row>
          <xdr:rowOff>142875</xdr:rowOff>
        </xdr:from>
        <xdr:to>
          <xdr:col>7</xdr:col>
          <xdr:colOff>1866900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Güncelle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EB81-4239-48D0-A29C-99EEE7DE5399}">
  <sheetPr codeName="Sheet1"/>
  <dimension ref="B1:N34"/>
  <sheetViews>
    <sheetView tabSelected="1" zoomScaleNormal="100" workbookViewId="0">
      <selection activeCell="H22" sqref="H22"/>
    </sheetView>
  </sheetViews>
  <sheetFormatPr defaultRowHeight="15" x14ac:dyDescent="0.25"/>
  <cols>
    <col min="1" max="1" width="5.28515625" customWidth="1"/>
    <col min="2" max="2" width="9" customWidth="1"/>
    <col min="3" max="3" width="2.7109375" customWidth="1"/>
    <col min="4" max="4" width="10.5703125" bestFit="1" customWidth="1"/>
    <col min="5" max="5" width="9.7109375" bestFit="1" customWidth="1"/>
    <col min="6" max="6" width="11" bestFit="1" customWidth="1"/>
    <col min="7" max="7" width="3.5703125" customWidth="1"/>
    <col min="8" max="8" width="44.28515625" customWidth="1"/>
    <col min="9" max="9" width="17" customWidth="1"/>
    <col min="10" max="10" width="13.140625" customWidth="1"/>
    <col min="11" max="11" width="13.28515625" customWidth="1"/>
    <col min="12" max="12" width="12" customWidth="1"/>
  </cols>
  <sheetData>
    <row r="1" spans="2:14" x14ac:dyDescent="0.25">
      <c r="B1" s="1"/>
      <c r="D1" t="s">
        <v>18</v>
      </c>
      <c r="E1" t="s">
        <v>19</v>
      </c>
      <c r="F1" t="s">
        <v>20</v>
      </c>
      <c r="H1" t="s">
        <v>27</v>
      </c>
      <c r="I1" t="s">
        <v>28</v>
      </c>
      <c r="J1" t="s">
        <v>15</v>
      </c>
      <c r="K1" t="s">
        <v>16</v>
      </c>
      <c r="L1" t="s">
        <v>17</v>
      </c>
    </row>
    <row r="2" spans="2:14" x14ac:dyDescent="0.25">
      <c r="N2" t="s">
        <v>43</v>
      </c>
    </row>
    <row r="3" spans="2:14" x14ac:dyDescent="0.25">
      <c r="F3">
        <f>SUM(F6:F14,F15:F19)</f>
        <v>728.97800000000007</v>
      </c>
      <c r="J3">
        <f>SUM(J6:J14,J15:J19)</f>
        <v>814.11599999999987</v>
      </c>
      <c r="K3">
        <f>SUM(K6:K14,K15:K19)</f>
        <v>85.138000000000005</v>
      </c>
      <c r="L3">
        <f>AVERAGE(L6:L19)</f>
        <v>8.0247209832464677</v>
      </c>
      <c r="N3" t="s">
        <v>25</v>
      </c>
    </row>
    <row r="4" spans="2:14" x14ac:dyDescent="0.25">
      <c r="N4" t="s">
        <v>26</v>
      </c>
    </row>
    <row r="5" spans="2:14" x14ac:dyDescent="0.25">
      <c r="B5" t="s">
        <v>0</v>
      </c>
      <c r="H5" t="str">
        <f>_xlfn.WEBSERVICE("https://api.binance.com/api/v3/ticker/price?symbol=BTCUSDT")</f>
        <v>{"symbol":"BTCUSDT","price":"36488.20000000"}</v>
      </c>
      <c r="I5" t="str">
        <f t="shared" ref="I5:I14" si="0">MID(H5,FIND("price",H5,1)+8,(LEN(H5)-FIND("price",H5,1)-8)-1)</f>
        <v>36488.20000000</v>
      </c>
    </row>
    <row r="6" spans="2:14" x14ac:dyDescent="0.25">
      <c r="B6" t="s">
        <v>1</v>
      </c>
      <c r="D6">
        <v>0.51590000000000003</v>
      </c>
      <c r="E6">
        <v>100</v>
      </c>
      <c r="F6">
        <f>D6*E6</f>
        <v>51.59</v>
      </c>
      <c r="H6" t="str">
        <f>_xlfn.WEBSERVICE("https://api.binance.com/api/v3/ticker/price?symbol=HARDUSDT")</f>
        <v>{"symbol":"HARDUSDT","price":"0.59890000"}</v>
      </c>
      <c r="I6" t="str">
        <f t="shared" si="0"/>
        <v>0.59890000</v>
      </c>
      <c r="J6">
        <f>E6*I6</f>
        <v>59.89</v>
      </c>
      <c r="K6">
        <f>J6-F6</f>
        <v>8.2999999999999972</v>
      </c>
      <c r="L6">
        <f>100/(F6/K6)</f>
        <v>16.088389222717574</v>
      </c>
    </row>
    <row r="7" spans="2:14" x14ac:dyDescent="0.25">
      <c r="B7" t="s">
        <v>2</v>
      </c>
      <c r="D7">
        <v>0.89600000000000002</v>
      </c>
      <c r="E7">
        <v>50</v>
      </c>
      <c r="F7">
        <f t="shared" ref="F7:F20" si="1">D7*E7</f>
        <v>44.800000000000004</v>
      </c>
      <c r="H7" t="str">
        <f>_xlfn.WEBSERVICE("https://api.binance.com/api/v3/ticker/price?symbol=SXPUSDT")</f>
        <v>{"symbol":"SXPUSDT","price":"0.97400000"}</v>
      </c>
      <c r="I7" t="str">
        <f t="shared" si="0"/>
        <v>0.97400000</v>
      </c>
      <c r="J7">
        <f t="shared" ref="J7:J20" si="2">E7*I7</f>
        <v>48.699999999999996</v>
      </c>
      <c r="K7">
        <f t="shared" ref="K7:K20" si="3">J7-F7</f>
        <v>3.8999999999999915</v>
      </c>
      <c r="L7">
        <f t="shared" ref="L7:L20" si="4">100/(F7/K7)</f>
        <v>8.7053571428571228</v>
      </c>
    </row>
    <row r="8" spans="2:14" x14ac:dyDescent="0.25">
      <c r="B8" t="s">
        <v>3</v>
      </c>
      <c r="D8">
        <v>144</v>
      </c>
      <c r="E8">
        <v>1</v>
      </c>
      <c r="F8">
        <f t="shared" si="1"/>
        <v>144</v>
      </c>
      <c r="H8" t="str">
        <f>_xlfn.WEBSERVICE("https://api.binance.com/api/v3/ticker/price?symbol=AAVEUSDT")</f>
        <v>{"symbol":"AAVEUSDT","price":"187.78500000"}</v>
      </c>
      <c r="I8" t="str">
        <f t="shared" si="0"/>
        <v>187.78500000</v>
      </c>
      <c r="J8">
        <f t="shared" si="2"/>
        <v>187.785</v>
      </c>
      <c r="K8">
        <f t="shared" si="3"/>
        <v>43.784999999999997</v>
      </c>
      <c r="L8">
        <f t="shared" si="4"/>
        <v>30.40625</v>
      </c>
      <c r="N8" t="s">
        <v>21</v>
      </c>
    </row>
    <row r="9" spans="2:14" x14ac:dyDescent="0.25">
      <c r="B9" t="s">
        <v>4</v>
      </c>
      <c r="D9">
        <v>0.57830000000000004</v>
      </c>
      <c r="E9">
        <v>100</v>
      </c>
      <c r="F9">
        <f t="shared" si="1"/>
        <v>57.830000000000005</v>
      </c>
      <c r="H9" t="str">
        <f>_xlfn.WEBSERVICE("https://api.binance.com/api/v3/ticker/price?symbol=ONTUSDT")</f>
        <v>{"symbol":"ONTUSDT","price":"0.67270000"}</v>
      </c>
      <c r="I9" t="str">
        <f t="shared" si="0"/>
        <v>0.67270000</v>
      </c>
      <c r="J9">
        <f t="shared" si="2"/>
        <v>67.27</v>
      </c>
      <c r="K9">
        <f t="shared" si="3"/>
        <v>9.4399999999999906</v>
      </c>
      <c r="L9">
        <f t="shared" si="4"/>
        <v>16.323707418294983</v>
      </c>
      <c r="N9" t="s">
        <v>22</v>
      </c>
    </row>
    <row r="10" spans="2:14" x14ac:dyDescent="0.25">
      <c r="B10" t="s">
        <v>5</v>
      </c>
      <c r="D10">
        <v>6.3140999999999998</v>
      </c>
      <c r="E10">
        <v>10</v>
      </c>
      <c r="F10">
        <f t="shared" si="1"/>
        <v>63.140999999999998</v>
      </c>
      <c r="H10" t="str">
        <f>_xlfn.WEBSERVICE("https://api.binance.com/api/v3/ticker/price?symbol=WAVESUSDT")</f>
        <v>{"symbol":"WAVESUSDT","price":"6.66660000"}</v>
      </c>
      <c r="I10" t="str">
        <f t="shared" si="0"/>
        <v>6.66660000</v>
      </c>
      <c r="J10">
        <f t="shared" si="2"/>
        <v>66.665999999999997</v>
      </c>
      <c r="K10">
        <f t="shared" si="3"/>
        <v>3.5249999999999986</v>
      </c>
      <c r="L10">
        <f t="shared" si="4"/>
        <v>5.5827433838551785</v>
      </c>
      <c r="N10" t="s">
        <v>23</v>
      </c>
    </row>
    <row r="11" spans="2:14" x14ac:dyDescent="0.25">
      <c r="B11" t="s">
        <v>6</v>
      </c>
      <c r="D11">
        <v>0.311</v>
      </c>
      <c r="E11">
        <v>100</v>
      </c>
      <c r="F11">
        <f t="shared" si="1"/>
        <v>31.1</v>
      </c>
      <c r="H11" t="str">
        <f>_xlfn.WEBSERVICE("https://api.binance.com/api/v3/ticker/price?symbol=ADAUSDT")</f>
        <v>{"symbol":"ADAUSDT","price":"0.35603000"}</v>
      </c>
      <c r="I11" t="str">
        <f t="shared" si="0"/>
        <v>0.35603000</v>
      </c>
      <c r="J11">
        <f t="shared" si="2"/>
        <v>35.603000000000002</v>
      </c>
      <c r="K11">
        <f t="shared" si="3"/>
        <v>4.5030000000000001</v>
      </c>
      <c r="L11">
        <f t="shared" si="4"/>
        <v>14.479099678456592</v>
      </c>
      <c r="N11" t="s">
        <v>24</v>
      </c>
    </row>
    <row r="12" spans="2:14" x14ac:dyDescent="0.25">
      <c r="B12" t="s">
        <v>7</v>
      </c>
      <c r="D12">
        <v>0.1171</v>
      </c>
      <c r="E12">
        <v>500</v>
      </c>
      <c r="F12">
        <f t="shared" si="1"/>
        <v>58.55</v>
      </c>
      <c r="H12" t="str">
        <f>_xlfn.WEBSERVICE("https://api.binance.com/api/v3/ticker/price?symbol=CTXCUSDT")</f>
        <v>{"symbol":"CTXCUSDT","price":"0.11570000"}</v>
      </c>
      <c r="I12" t="str">
        <f t="shared" si="0"/>
        <v>0.11570000</v>
      </c>
      <c r="J12">
        <f t="shared" si="2"/>
        <v>57.85</v>
      </c>
      <c r="K12">
        <f t="shared" si="3"/>
        <v>-0.69999999999999574</v>
      </c>
      <c r="L12">
        <f t="shared" si="4"/>
        <v>-1.1955593509820595</v>
      </c>
    </row>
    <row r="13" spans="2:14" x14ac:dyDescent="0.25">
      <c r="B13" t="s">
        <v>8</v>
      </c>
      <c r="D13">
        <v>1.9581999999999999E-2</v>
      </c>
      <c r="E13">
        <v>1000</v>
      </c>
      <c r="F13">
        <f t="shared" si="1"/>
        <v>19.581999999999997</v>
      </c>
      <c r="H13" t="str">
        <f>_xlfn.WEBSERVICE("https://api.binance.com/api/v3/ticker/price?symbol=CHZUSDT")</f>
        <v>{"symbol":"CHZUSDT","price":"0.01949100"}</v>
      </c>
      <c r="I13" t="str">
        <f t="shared" si="0"/>
        <v>0.01949100</v>
      </c>
      <c r="J13">
        <f t="shared" si="2"/>
        <v>19.491</v>
      </c>
      <c r="K13">
        <f t="shared" si="3"/>
        <v>-9.0999999999997527E-2</v>
      </c>
      <c r="L13">
        <f t="shared" si="4"/>
        <v>-0.46471249106320878</v>
      </c>
    </row>
    <row r="14" spans="2:14" x14ac:dyDescent="0.25">
      <c r="B14" t="s">
        <v>9</v>
      </c>
      <c r="D14">
        <v>1813.46</v>
      </c>
      <c r="E14">
        <v>0.05</v>
      </c>
      <c r="F14">
        <f t="shared" si="1"/>
        <v>90.673000000000002</v>
      </c>
      <c r="H14" t="str">
        <f>_xlfn.WEBSERVICE("https://api.binance.com/api/v3/ticker/price?symbol=YFIIUSDT")</f>
        <v>{"symbol":"YFIIUSDT","price":"1943.22000000"}</v>
      </c>
      <c r="I14" t="str">
        <f t="shared" si="0"/>
        <v>1943.22000000</v>
      </c>
      <c r="J14">
        <f t="shared" si="2"/>
        <v>97.161000000000001</v>
      </c>
      <c r="K14">
        <f t="shared" si="3"/>
        <v>6.4879999999999995</v>
      </c>
      <c r="L14">
        <f t="shared" si="4"/>
        <v>7.1553825284263226</v>
      </c>
      <c r="N14" t="s">
        <v>29</v>
      </c>
    </row>
    <row r="15" spans="2:14" x14ac:dyDescent="0.25">
      <c r="B15" t="s">
        <v>10</v>
      </c>
      <c r="D15">
        <v>22</v>
      </c>
      <c r="E15">
        <v>2</v>
      </c>
      <c r="F15">
        <f t="shared" si="1"/>
        <v>44</v>
      </c>
      <c r="H15" t="str">
        <f>_xlfn.WEBSERVICE("https://api.binance.com/api/v3/ticker/price?symbol=NEOUSDT")</f>
        <v>{"symbol":"NEOUSDT","price":"24.13700000"}</v>
      </c>
      <c r="I15" t="str">
        <f>MID(H15,FIND("price",H15,1)+8,(LEN(H15)-FIND("price",H15,1)-8)-1)</f>
        <v>24.13700000</v>
      </c>
      <c r="J15">
        <f t="shared" si="2"/>
        <v>48.274000000000001</v>
      </c>
      <c r="K15">
        <f t="shared" si="3"/>
        <v>4.2740000000000009</v>
      </c>
      <c r="L15">
        <f t="shared" si="4"/>
        <v>9.7136363636363665</v>
      </c>
      <c r="N15" t="s">
        <v>30</v>
      </c>
    </row>
    <row r="16" spans="2:14" x14ac:dyDescent="0.25">
      <c r="B16" t="s">
        <v>11</v>
      </c>
      <c r="D16">
        <v>3.0419999999999999E-2</v>
      </c>
      <c r="E16">
        <v>1000</v>
      </c>
      <c r="F16">
        <f t="shared" si="1"/>
        <v>30.419999999999998</v>
      </c>
      <c r="H16" t="str">
        <f>_xlfn.WEBSERVICE("https://api.binance.com/api/v3/ticker/price?symbol=TRXUSDT")</f>
        <v>{"symbol":"TRXUSDT","price":"0.03079000"}</v>
      </c>
      <c r="I16" t="str">
        <f>MID(H16,FIND("price",H16,1)+8,(LEN(H16)-FIND("price",H16,1)-8)-1)</f>
        <v>0.03079000</v>
      </c>
      <c r="J16">
        <f t="shared" si="2"/>
        <v>30.790000000000003</v>
      </c>
      <c r="K16">
        <f t="shared" si="3"/>
        <v>0.37000000000000455</v>
      </c>
      <c r="L16">
        <f t="shared" si="4"/>
        <v>1.2163050624589236</v>
      </c>
      <c r="N16" t="s">
        <v>31</v>
      </c>
    </row>
    <row r="17" spans="2:14" x14ac:dyDescent="0.25">
      <c r="B17" t="s">
        <v>12</v>
      </c>
      <c r="D17">
        <v>3.1709999999999998</v>
      </c>
      <c r="E17">
        <v>10</v>
      </c>
      <c r="F17">
        <f t="shared" si="1"/>
        <v>31.709999999999997</v>
      </c>
      <c r="H17" t="str">
        <f>_xlfn.WEBSERVICE("https://api.binance.com/api/v3/ticker/price?symbol=QTUMUSDT")</f>
        <v>{"symbol":"QTUMUSDT","price":"3.11400000"}</v>
      </c>
      <c r="I17" t="str">
        <f>MID(H17,FIND("price",H17,1)+8,(LEN(H17)-FIND("price",H17,1)-8)-1)</f>
        <v>3.11400000</v>
      </c>
      <c r="J17">
        <f t="shared" si="2"/>
        <v>31.14</v>
      </c>
      <c r="K17">
        <f t="shared" si="3"/>
        <v>-0.56999999999999673</v>
      </c>
      <c r="L17">
        <f t="shared" si="4"/>
        <v>-1.7975402081362244</v>
      </c>
    </row>
    <row r="18" spans="2:14" x14ac:dyDescent="0.25">
      <c r="B18" t="s">
        <v>13</v>
      </c>
      <c r="D18">
        <v>3.266</v>
      </c>
      <c r="E18">
        <v>10</v>
      </c>
      <c r="F18">
        <f t="shared" si="1"/>
        <v>32.659999999999997</v>
      </c>
      <c r="H18" t="str">
        <f>_xlfn.WEBSERVICE("https://api.binance.com/api/v3/ticker/price?symbol=NANOUSDT")</f>
        <v>{"symbol":"NANOUSDT","price":"3.38850000"}</v>
      </c>
      <c r="I18" t="str">
        <f>MID(H18,FIND("price",H18,1)+8,(LEN(H18)-FIND("price",H18,1)-8)-1)</f>
        <v>3.38850000</v>
      </c>
      <c r="J18">
        <f t="shared" si="2"/>
        <v>33.884999999999998</v>
      </c>
      <c r="K18">
        <f t="shared" si="3"/>
        <v>1.2250000000000014</v>
      </c>
      <c r="L18">
        <f t="shared" si="4"/>
        <v>3.7507654623392574</v>
      </c>
      <c r="N18" t="s">
        <v>32</v>
      </c>
    </row>
    <row r="19" spans="2:14" x14ac:dyDescent="0.25">
      <c r="B19" t="s">
        <v>14</v>
      </c>
      <c r="D19">
        <v>0.28921999999999998</v>
      </c>
      <c r="E19">
        <v>100</v>
      </c>
      <c r="F19">
        <f t="shared" si="1"/>
        <v>28.921999999999997</v>
      </c>
      <c r="H19" t="str">
        <f>_xlfn.WEBSERVICE("https://api.binance.com/api/v3/ticker/price?symbol=XLMUSDT")</f>
        <v>{"symbol":"XLMUSDT","price":"0.29611000"}</v>
      </c>
      <c r="I19" t="str">
        <f>MID(H19,FIND("price",H19,1)+8,(LEN(H19)-FIND("price",H19,1)-8)-1)</f>
        <v>0.29611000</v>
      </c>
      <c r="J19">
        <f t="shared" si="2"/>
        <v>29.610999999999997</v>
      </c>
      <c r="K19">
        <f t="shared" si="3"/>
        <v>0.68900000000000006</v>
      </c>
      <c r="L19">
        <f t="shared" si="4"/>
        <v>2.3822695525897246</v>
      </c>
      <c r="N19" t="s">
        <v>33</v>
      </c>
    </row>
    <row r="20" spans="2:14" x14ac:dyDescent="0.25">
      <c r="B20" t="s">
        <v>44</v>
      </c>
      <c r="D20">
        <v>7.4200000000000002E-2</v>
      </c>
      <c r="E20">
        <v>3368.67</v>
      </c>
      <c r="F20">
        <f t="shared" si="1"/>
        <v>249.95531400000002</v>
      </c>
      <c r="H20" t="str">
        <f>_xlfn.WEBSERVICE("https://api.huobi.pro/market/trade?symbol=crousdt")</f>
        <v>{"ch":"market.crousdt.trade.detail","status":"ok","ts":1610828641727,"tick":{"id":100488109492,"ts":1610828637316,"data":[{"id":100488109492191159596733981,"ts":1610828637316,"trade-id":100021483617,"amount":786.13,"price":0.0763,"direction":"buy"},{"id":100488109492191159588149419,"ts":1610828637316,"trade-id":100021483616,"amount":868.57,"price":0.0763,"direction":"buy"}]}}</v>
      </c>
      <c r="I20" t="str">
        <f>MID(H20,FIND("price",H20,1)+7,((FIND("direction",H20)-1)-(FIND("price",H20)+8)))</f>
        <v>0.0763</v>
      </c>
      <c r="J20">
        <f t="shared" si="2"/>
        <v>257.02952100000005</v>
      </c>
      <c r="K20">
        <f t="shared" si="3"/>
        <v>7.0742070000000297</v>
      </c>
      <c r="L20">
        <f t="shared" si="4"/>
        <v>2.8301886792452948</v>
      </c>
      <c r="N20" t="s">
        <v>34</v>
      </c>
    </row>
    <row r="22" spans="2:14" x14ac:dyDescent="0.25">
      <c r="N22" t="s">
        <v>35</v>
      </c>
    </row>
    <row r="23" spans="2:14" x14ac:dyDescent="0.25">
      <c r="N23" t="s">
        <v>36</v>
      </c>
    </row>
    <row r="24" spans="2:14" x14ac:dyDescent="0.25">
      <c r="N24" t="s">
        <v>37</v>
      </c>
    </row>
    <row r="26" spans="2:14" x14ac:dyDescent="0.25">
      <c r="N26" t="s">
        <v>38</v>
      </c>
    </row>
    <row r="27" spans="2:14" x14ac:dyDescent="0.25">
      <c r="N27" t="s">
        <v>39</v>
      </c>
    </row>
    <row r="28" spans="2:14" x14ac:dyDescent="0.25">
      <c r="N28" t="s">
        <v>40</v>
      </c>
    </row>
    <row r="30" spans="2:14" x14ac:dyDescent="0.25">
      <c r="N30" t="s">
        <v>41</v>
      </c>
    </row>
    <row r="32" spans="2:14" x14ac:dyDescent="0.25">
      <c r="N32" t="s">
        <v>42</v>
      </c>
    </row>
    <row r="34" spans="14:14" x14ac:dyDescent="0.25">
      <c r="N34" t="s">
        <v>45</v>
      </c>
    </row>
  </sheetData>
  <conditionalFormatting sqref="K6:K19">
    <cfRule type="cellIs" dxfId="1" priority="2" operator="greaterThan">
      <formula>0</formula>
    </cfRule>
  </conditionalFormatting>
  <conditionalFormatting sqref="K20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yatGuncelle">
                <anchor moveWithCells="1">
                  <from>
                    <xdr:col>7</xdr:col>
                    <xdr:colOff>723900</xdr:colOff>
                    <xdr:row>1</xdr:row>
                    <xdr:rowOff>142875</xdr:rowOff>
                  </from>
                  <to>
                    <xdr:col>7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guven</dc:creator>
  <cp:lastModifiedBy>guven</cp:lastModifiedBy>
  <dcterms:created xsi:type="dcterms:W3CDTF">2021-01-16T11:04:51Z</dcterms:created>
  <dcterms:modified xsi:type="dcterms:W3CDTF">2021-01-16T20:25:04Z</dcterms:modified>
</cp:coreProperties>
</file>