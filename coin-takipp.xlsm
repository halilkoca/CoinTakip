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ven\Desktop\"/>
    </mc:Choice>
  </mc:AlternateContent>
  <xr:revisionPtr revIDLastSave="0" documentId="13_ncr:1_{9F9AD36A-8928-41B6-ABDC-DBD79627868E}" xr6:coauthVersionLast="45" xr6:coauthVersionMax="45" xr10:uidLastSave="{00000000-0000-0000-0000-000000000000}"/>
  <bookViews>
    <workbookView xWindow="-120" yWindow="-120" windowWidth="29040" windowHeight="15840" xr2:uid="{9491BEDA-73B4-4A73-B9B3-1EB4D6570677}"/>
  </bookViews>
  <sheets>
    <sheet name="Sheet1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0" i="2" l="1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I20" i="2" l="1"/>
  <c r="J20" i="2" s="1"/>
  <c r="K20" i="2" s="1"/>
  <c r="F20" i="2"/>
  <c r="L20" i="2" l="1"/>
  <c r="I19" i="2" l="1"/>
  <c r="J19" i="2" s="1"/>
  <c r="K19" i="2" s="1"/>
  <c r="I18" i="2"/>
  <c r="J18" i="2" s="1"/>
  <c r="K18" i="2" s="1"/>
  <c r="I17" i="2"/>
  <c r="J17" i="2" s="1"/>
  <c r="K17" i="2" s="1"/>
  <c r="I16" i="2"/>
  <c r="J16" i="2" s="1"/>
  <c r="K16" i="2" s="1"/>
  <c r="I15" i="2"/>
  <c r="J15" i="2" s="1"/>
  <c r="K15" i="2" s="1"/>
  <c r="I14" i="2"/>
  <c r="J14" i="2" s="1"/>
  <c r="K14" i="2" s="1"/>
  <c r="I13" i="2"/>
  <c r="J13" i="2" s="1"/>
  <c r="K13" i="2" s="1"/>
  <c r="I12" i="2"/>
  <c r="J12" i="2" s="1"/>
  <c r="K12" i="2" s="1"/>
  <c r="I11" i="2"/>
  <c r="J11" i="2" s="1"/>
  <c r="K11" i="2" s="1"/>
  <c r="I10" i="2"/>
  <c r="J10" i="2" s="1"/>
  <c r="K10" i="2" s="1"/>
  <c r="I9" i="2"/>
  <c r="J9" i="2" s="1"/>
  <c r="K9" i="2" s="1"/>
  <c r="I8" i="2"/>
  <c r="J8" i="2" s="1"/>
  <c r="K8" i="2" s="1"/>
  <c r="I7" i="2"/>
  <c r="J7" i="2" s="1"/>
  <c r="K7" i="2" s="1"/>
  <c r="I6" i="2"/>
  <c r="J6" i="2" s="1"/>
  <c r="I5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3" i="2" l="1"/>
  <c r="L9" i="2"/>
  <c r="L10" i="2"/>
  <c r="L15" i="2"/>
  <c r="L11" i="2"/>
  <c r="L16" i="2"/>
  <c r="L12" i="2"/>
  <c r="L17" i="2"/>
  <c r="K6" i="2"/>
  <c r="K3" i="2" s="1"/>
  <c r="J3" i="2"/>
  <c r="L7" i="2"/>
  <c r="L13" i="2"/>
  <c r="L18" i="2"/>
  <c r="L8" i="2"/>
  <c r="L14" i="2"/>
  <c r="L19" i="2"/>
  <c r="L6" i="2" l="1"/>
  <c r="L3" i="2" s="1"/>
</calcChain>
</file>

<file path=xl/sharedStrings.xml><?xml version="1.0" encoding="utf-8"?>
<sst xmlns="http://schemas.openxmlformats.org/spreadsheetml/2006/main" count="32" uniqueCount="32">
  <si>
    <t>BTC</t>
  </si>
  <si>
    <t>HARD</t>
  </si>
  <si>
    <t>SXP</t>
  </si>
  <si>
    <t>AAVE</t>
  </si>
  <si>
    <t>ONT</t>
  </si>
  <si>
    <t>WAVES</t>
  </si>
  <si>
    <t>ADA</t>
  </si>
  <si>
    <t>CTXC</t>
  </si>
  <si>
    <t>CHZ</t>
  </si>
  <si>
    <t>YFII</t>
  </si>
  <si>
    <t>NEO</t>
  </si>
  <si>
    <t>TRX</t>
  </si>
  <si>
    <t>QTUM</t>
  </si>
  <si>
    <t>NANO</t>
  </si>
  <si>
    <t>XLM</t>
  </si>
  <si>
    <t>TOTAL</t>
  </si>
  <si>
    <t>FARK</t>
  </si>
  <si>
    <t>YÜZDE</t>
  </si>
  <si>
    <t>ALIŞ FIYATI</t>
  </si>
  <si>
    <t>ALIŞ ADET</t>
  </si>
  <si>
    <t>ALIŞ TOTAL</t>
  </si>
  <si>
    <t>H sütununa F2 yap</t>
  </si>
  <si>
    <t xml:space="preserve">symbol= </t>
  </si>
  <si>
    <t xml:space="preserve">sonra symbol= den sonrasına kendi symbolü yaz </t>
  </si>
  <si>
    <t>enter a bas</t>
  </si>
  <si>
    <t>ilk olarak sol sütunda kendi coinlerin ile düzenle</t>
  </si>
  <si>
    <t>bunlar benimkiler</t>
  </si>
  <si>
    <t>COIN WEBSERVICE</t>
  </si>
  <si>
    <t>COIN GUNCEL</t>
  </si>
  <si>
    <t>üstte güvenlik uyarısı var bu HUOBI ve BINANCE apilerine bağlandığı için Enable edilmesi lazım</t>
  </si>
  <si>
    <t>CRO</t>
  </si>
  <si>
    <t>Güncelle butonu tıklayınca hepsi otomatik güncellenir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</si>
</sst>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11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1</xdr:row>
          <xdr:rowOff>142875</xdr:rowOff>
        </xdr:from>
        <xdr:to>
          <xdr:col>7</xdr:col>
          <xdr:colOff>1866900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Güncelle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1EB81-4239-48D0-A29C-99EEE7DE5399}">
  <sheetPr codeName="Sheet1"/>
  <dimension ref="B1:N20"/>
  <sheetViews>
    <sheetView tabSelected="1" zoomScaleNormal="100" workbookViewId="0">
      <selection activeCell="N16" sqref="N16"/>
    </sheetView>
  </sheetViews>
  <sheetFormatPr defaultRowHeight="15" x14ac:dyDescent="0.25"/>
  <cols>
    <col min="1" max="1" width="5.28515625" customWidth="1"/>
    <col min="2" max="2" width="9" customWidth="1"/>
    <col min="3" max="3" width="2.7109375" customWidth="1"/>
    <col min="4" max="4" width="10.5703125" bestFit="1" customWidth="1"/>
    <col min="5" max="5" width="9.7109375" bestFit="1" customWidth="1"/>
    <col min="6" max="6" width="11" bestFit="1" customWidth="1"/>
    <col min="7" max="7" width="3.5703125" customWidth="1"/>
    <col min="8" max="8" width="44.28515625" customWidth="1"/>
    <col min="9" max="9" width="17" customWidth="1"/>
    <col min="10" max="10" width="13.140625" customWidth="1"/>
    <col min="11" max="11" width="13.28515625" customWidth="1"/>
    <col min="12" max="12" width="12" customWidth="1"/>
  </cols>
  <sheetData>
    <row r="1" spans="2:14" x14ac:dyDescent="0.25">
      <c r="B1" s="1"/>
      <c r="D1" t="s">
        <v>18</v>
      </c>
      <c r="E1" t="s">
        <v>19</v>
      </c>
      <c r="F1" t="s">
        <v>20</v>
      </c>
      <c r="H1" t="s">
        <v>27</v>
      </c>
      <c r="I1" t="s">
        <v>28</v>
      </c>
      <c r="J1" t="s">
        <v>15</v>
      </c>
      <c r="K1" t="s">
        <v>16</v>
      </c>
      <c r="L1" t="s">
        <v>17</v>
      </c>
    </row>
    <row r="2" spans="2:14" x14ac:dyDescent="0.25">
      <c r="N2" t="s">
        <v>29</v>
      </c>
    </row>
    <row r="3" spans="2:14" x14ac:dyDescent="0.25">
      <c r="F3">
        <f>SUM(F6:F14,F15:F19)</f>
        <v>728.97800000000007</v>
      </c>
      <c r="J3">
        <f>SUM(J6:J14,J15:J19)</f>
        <v>839.3225000000001</v>
      </c>
      <c r="K3">
        <f>SUM(K6:K14,K15:K19)</f>
        <v>110.34450000000001</v>
      </c>
      <c r="L3">
        <f>AVERAGE(L6:L19)</f>
        <v>10.382704313378193</v>
      </c>
      <c r="N3" t="s">
        <v>25</v>
      </c>
    </row>
    <row r="4" spans="2:14" x14ac:dyDescent="0.25">
      <c r="N4" t="s">
        <v>26</v>
      </c>
    </row>
    <row r="5" spans="2:14" x14ac:dyDescent="0.25">
      <c r="B5" t="s">
        <v>0</v>
      </c>
      <c r="H5" t="str">
        <f>_xlfn.WEBSERVICE("https://api.binance.com/api/v3/ticker/price?symbol=BTCUSDT")</f>
        <v>{"symbol":"BTCUSDT","price":"35902.54000000"}</v>
      </c>
      <c r="I5" t="str">
        <f t="shared" ref="I5:I14" si="0">MID(H5,FIND("price",H5,1)+8,(LEN(H5)-FIND("price",H5,1)-8)-1)</f>
        <v>35902.54000000</v>
      </c>
    </row>
    <row r="6" spans="2:14" x14ac:dyDescent="0.25">
      <c r="B6" t="s">
        <v>1</v>
      </c>
      <c r="D6">
        <v>0.51590000000000003</v>
      </c>
      <c r="E6">
        <v>100</v>
      </c>
      <c r="F6">
        <f>D6*E6</f>
        <v>51.59</v>
      </c>
      <c r="H6" t="str">
        <f>_xlfn.WEBSERVICE("https://api.binance.com/api/v3/ticker/price?symbol=HARDUSDT")</f>
        <v>{"symbol":"HARDUSDT","price":"0.61290000"}</v>
      </c>
      <c r="I6" t="str">
        <f t="shared" si="0"/>
        <v>0.61290000</v>
      </c>
      <c r="J6">
        <f>E6*I6</f>
        <v>61.29</v>
      </c>
      <c r="K6">
        <f>J6-F6</f>
        <v>9.6999999999999957</v>
      </c>
      <c r="L6">
        <f>100/(F6/K6)</f>
        <v>18.802093428959093</v>
      </c>
    </row>
    <row r="7" spans="2:14" x14ac:dyDescent="0.25">
      <c r="B7" t="s">
        <v>2</v>
      </c>
      <c r="D7">
        <v>0.89600000000000002</v>
      </c>
      <c r="E7">
        <v>50</v>
      </c>
      <c r="F7">
        <f t="shared" ref="F7:F20" si="1">D7*E7</f>
        <v>44.800000000000004</v>
      </c>
      <c r="H7" t="str">
        <f>_xlfn.WEBSERVICE("https://api.binance.com/api/v3/ticker/price?symbol=SXPUSDT")</f>
        <v>{"symbol":"SXPUSDT","price":"0.95700000"}</v>
      </c>
      <c r="I7" t="str">
        <f t="shared" si="0"/>
        <v>0.95700000</v>
      </c>
      <c r="J7">
        <f t="shared" ref="J7:J20" si="2">E7*I7</f>
        <v>47.85</v>
      </c>
      <c r="K7">
        <f t="shared" ref="K7:K20" si="3">J7-F7</f>
        <v>3.0499999999999972</v>
      </c>
      <c r="L7">
        <f t="shared" ref="L7:L20" si="4">100/(F7/K7)</f>
        <v>6.8080357142857073</v>
      </c>
    </row>
    <row r="8" spans="2:14" x14ac:dyDescent="0.25">
      <c r="B8" t="s">
        <v>3</v>
      </c>
      <c r="D8">
        <v>144</v>
      </c>
      <c r="E8">
        <v>1</v>
      </c>
      <c r="F8">
        <f t="shared" si="1"/>
        <v>144</v>
      </c>
      <c r="H8" t="str">
        <f>_xlfn.WEBSERVICE("https://api.binance.com/api/v3/ticker/price?symbol=AAVEUSDT")</f>
        <v>{"symbol":"AAVEUSDT","price":"195.78300000"}</v>
      </c>
      <c r="I8" t="str">
        <f t="shared" si="0"/>
        <v>195.78300000</v>
      </c>
      <c r="J8">
        <f t="shared" si="2"/>
        <v>195.78299999999999</v>
      </c>
      <c r="K8">
        <f t="shared" si="3"/>
        <v>51.782999999999987</v>
      </c>
      <c r="L8">
        <f t="shared" si="4"/>
        <v>35.96041666666666</v>
      </c>
      <c r="N8" t="s">
        <v>21</v>
      </c>
    </row>
    <row r="9" spans="2:14" x14ac:dyDescent="0.25">
      <c r="B9" t="s">
        <v>4</v>
      </c>
      <c r="D9">
        <v>0.57830000000000004</v>
      </c>
      <c r="E9">
        <v>100</v>
      </c>
      <c r="F9">
        <f t="shared" si="1"/>
        <v>57.830000000000005</v>
      </c>
      <c r="H9" t="str">
        <f>_xlfn.WEBSERVICE("https://api.binance.com/api/v3/ticker/price?symbol=ONTUSDT")</f>
        <v>{"symbol":"ONTUSDT","price":"0.65840000"}</v>
      </c>
      <c r="I9" t="str">
        <f t="shared" si="0"/>
        <v>0.65840000</v>
      </c>
      <c r="J9">
        <f t="shared" si="2"/>
        <v>65.84</v>
      </c>
      <c r="K9">
        <f t="shared" si="3"/>
        <v>8.009999999999998</v>
      </c>
      <c r="L9">
        <f t="shared" si="4"/>
        <v>13.850942417430396</v>
      </c>
      <c r="N9" t="s">
        <v>22</v>
      </c>
    </row>
    <row r="10" spans="2:14" x14ac:dyDescent="0.25">
      <c r="B10" t="s">
        <v>5</v>
      </c>
      <c r="D10">
        <v>6.3140999999999998</v>
      </c>
      <c r="E10">
        <v>10</v>
      </c>
      <c r="F10">
        <f t="shared" si="1"/>
        <v>63.140999999999998</v>
      </c>
      <c r="H10" t="str">
        <f>_xlfn.WEBSERVICE("https://api.binance.com/api/v3/ticker/price?symbol=WAVESUSDT")</f>
        <v>{"symbol":"WAVESUSDT","price":"7.76510000"}</v>
      </c>
      <c r="I10" t="str">
        <f t="shared" si="0"/>
        <v>7.76510000</v>
      </c>
      <c r="J10">
        <f t="shared" si="2"/>
        <v>77.65100000000001</v>
      </c>
      <c r="K10">
        <f t="shared" si="3"/>
        <v>14.510000000000012</v>
      </c>
      <c r="L10">
        <f t="shared" si="4"/>
        <v>22.98031390063511</v>
      </c>
      <c r="N10" t="s">
        <v>23</v>
      </c>
    </row>
    <row r="11" spans="2:14" x14ac:dyDescent="0.25">
      <c r="B11" t="s">
        <v>6</v>
      </c>
      <c r="D11">
        <v>0.311</v>
      </c>
      <c r="E11">
        <v>100</v>
      </c>
      <c r="F11">
        <f t="shared" si="1"/>
        <v>31.1</v>
      </c>
      <c r="H11" t="str">
        <f>_xlfn.WEBSERVICE("https://api.binance.com/api/v3/ticker/price?symbol=ADAUSDT")</f>
        <v>{"symbol":"ADAUSDT","price":"0.38243000"}</v>
      </c>
      <c r="I11" t="str">
        <f t="shared" si="0"/>
        <v>0.38243000</v>
      </c>
      <c r="J11">
        <f t="shared" si="2"/>
        <v>38.243000000000002</v>
      </c>
      <c r="K11">
        <f t="shared" si="3"/>
        <v>7.1430000000000007</v>
      </c>
      <c r="L11">
        <f t="shared" si="4"/>
        <v>22.967845659163988</v>
      </c>
      <c r="N11" t="s">
        <v>24</v>
      </c>
    </row>
    <row r="12" spans="2:14" x14ac:dyDescent="0.25">
      <c r="B12" t="s">
        <v>7</v>
      </c>
      <c r="D12">
        <v>0.1171</v>
      </c>
      <c r="E12">
        <v>500</v>
      </c>
      <c r="F12">
        <f t="shared" si="1"/>
        <v>58.55</v>
      </c>
      <c r="H12" t="str">
        <f>_xlfn.WEBSERVICE("https://api.binance.com/api/v3/ticker/price?symbol=CTXCUSDT")</f>
        <v>{"symbol":"CTXCUSDT","price":"0.11890000"}</v>
      </c>
      <c r="I12" t="str">
        <f t="shared" si="0"/>
        <v>0.11890000</v>
      </c>
      <c r="J12">
        <f t="shared" si="2"/>
        <v>59.45</v>
      </c>
      <c r="K12">
        <f t="shared" si="3"/>
        <v>0.90000000000000568</v>
      </c>
      <c r="L12">
        <f t="shared" si="4"/>
        <v>1.5371477369769524</v>
      </c>
    </row>
    <row r="13" spans="2:14" x14ac:dyDescent="0.25">
      <c r="B13" t="s">
        <v>8</v>
      </c>
      <c r="D13">
        <v>1.9581999999999999E-2</v>
      </c>
      <c r="E13">
        <v>1000</v>
      </c>
      <c r="F13">
        <f t="shared" si="1"/>
        <v>19.581999999999997</v>
      </c>
      <c r="H13" t="str">
        <f>_xlfn.WEBSERVICE("https://api.binance.com/api/v3/ticker/price?symbol=CHZUSDT")</f>
        <v>{"symbol":"CHZUSDT","price":"0.01934400"}</v>
      </c>
      <c r="I13" t="str">
        <f t="shared" si="0"/>
        <v>0.01934400</v>
      </c>
      <c r="J13">
        <f t="shared" si="2"/>
        <v>19.344000000000001</v>
      </c>
      <c r="K13">
        <f t="shared" si="3"/>
        <v>-0.23799999999999599</v>
      </c>
      <c r="L13">
        <f t="shared" si="4"/>
        <v>-1.2154018997037894</v>
      </c>
      <c r="N13" t="s">
        <v>31</v>
      </c>
    </row>
    <row r="14" spans="2:14" x14ac:dyDescent="0.25">
      <c r="B14" t="s">
        <v>9</v>
      </c>
      <c r="D14">
        <v>1813.46</v>
      </c>
      <c r="E14">
        <v>0.05</v>
      </c>
      <c r="F14">
        <f t="shared" si="1"/>
        <v>90.673000000000002</v>
      </c>
      <c r="H14" t="str">
        <f>_xlfn.WEBSERVICE("https://api.binance.com/api/v3/ticker/price?symbol=YFIIUSDT")</f>
        <v>{"symbol":"YFIIUSDT","price":"2038.77000000"}</v>
      </c>
      <c r="I14" t="str">
        <f t="shared" si="0"/>
        <v>2038.77000000</v>
      </c>
      <c r="J14">
        <f t="shared" si="2"/>
        <v>101.9385</v>
      </c>
      <c r="K14">
        <f t="shared" si="3"/>
        <v>11.265500000000003</v>
      </c>
      <c r="L14">
        <f t="shared" si="4"/>
        <v>12.424315948518304</v>
      </c>
    </row>
    <row r="15" spans="2:14" x14ac:dyDescent="0.25">
      <c r="B15" t="s">
        <v>10</v>
      </c>
      <c r="D15">
        <v>22</v>
      </c>
      <c r="E15">
        <v>2</v>
      </c>
      <c r="F15">
        <f t="shared" si="1"/>
        <v>44</v>
      </c>
      <c r="H15" t="str">
        <f>_xlfn.WEBSERVICE("https://api.binance.com/api/v3/ticker/price?symbol=NEOUSDT")</f>
        <v>{"symbol":"NEOUSDT","price":"23.33300000"}</v>
      </c>
      <c r="I15" t="str">
        <f>MID(H15,FIND("price",H15,1)+8,(LEN(H15)-FIND("price",H15,1)-8)-1)</f>
        <v>23.33300000</v>
      </c>
      <c r="J15">
        <f t="shared" si="2"/>
        <v>46.665999999999997</v>
      </c>
      <c r="K15">
        <f t="shared" si="3"/>
        <v>2.6659999999999968</v>
      </c>
      <c r="L15">
        <f t="shared" si="4"/>
        <v>6.0590909090909015</v>
      </c>
    </row>
    <row r="16" spans="2:14" x14ac:dyDescent="0.25">
      <c r="B16" t="s">
        <v>11</v>
      </c>
      <c r="D16">
        <v>3.0419999999999999E-2</v>
      </c>
      <c r="E16">
        <v>1000</v>
      </c>
      <c r="F16">
        <f t="shared" si="1"/>
        <v>30.419999999999998</v>
      </c>
      <c r="H16" t="str">
        <f>_xlfn.WEBSERVICE("https://api.binance.com/api/v3/ticker/price?symbol=TRXUSDT")</f>
        <v>{"symbol":"TRXUSDT","price":"0.03027000"}</v>
      </c>
      <c r="I16" t="str">
        <f>MID(H16,FIND("price",H16,1)+8,(LEN(H16)-FIND("price",H16,1)-8)-1)</f>
        <v>0.03027000</v>
      </c>
      <c r="J16">
        <f t="shared" si="2"/>
        <v>30.27</v>
      </c>
      <c r="K16">
        <f t="shared" si="3"/>
        <v>-0.14999999999999858</v>
      </c>
      <c r="L16">
        <f t="shared" si="4"/>
        <v>-0.49309664694279615</v>
      </c>
    </row>
    <row r="17" spans="2:12" x14ac:dyDescent="0.25">
      <c r="B17" t="s">
        <v>12</v>
      </c>
      <c r="D17">
        <v>3.1709999999999998</v>
      </c>
      <c r="E17">
        <v>10</v>
      </c>
      <c r="F17">
        <f t="shared" si="1"/>
        <v>31.709999999999997</v>
      </c>
      <c r="H17" t="str">
        <f>_xlfn.WEBSERVICE("https://api.binance.com/api/v3/ticker/price?symbol=QTUMUSDT")</f>
        <v>{"symbol":"QTUMUSDT","price":"3.06900000"}</v>
      </c>
      <c r="I17" t="str">
        <f>MID(H17,FIND("price",H17,1)+8,(LEN(H17)-FIND("price",H17,1)-8)-1)</f>
        <v>3.06900000</v>
      </c>
      <c r="J17">
        <f t="shared" si="2"/>
        <v>30.689999999999998</v>
      </c>
      <c r="K17">
        <f t="shared" si="3"/>
        <v>-1.0199999999999996</v>
      </c>
      <c r="L17">
        <f t="shared" si="4"/>
        <v>-3.2166508987701028</v>
      </c>
    </row>
    <row r="18" spans="2:12" x14ac:dyDescent="0.25">
      <c r="B18" t="s">
        <v>13</v>
      </c>
      <c r="D18">
        <v>3.266</v>
      </c>
      <c r="E18">
        <v>10</v>
      </c>
      <c r="F18">
        <f t="shared" si="1"/>
        <v>32.659999999999997</v>
      </c>
      <c r="H18" t="str">
        <f>_xlfn.WEBSERVICE("https://api.binance.com/api/v3/ticker/price?symbol=NANOUSDT")</f>
        <v>{"symbol":"NANOUSDT","price":"3.39970000"}</v>
      </c>
      <c r="I18" t="str">
        <f>MID(H18,FIND("price",H18,1)+8,(LEN(H18)-FIND("price",H18,1)-8)-1)</f>
        <v>3.39970000</v>
      </c>
      <c r="J18">
        <f t="shared" si="2"/>
        <v>33.997</v>
      </c>
      <c r="K18">
        <f t="shared" si="3"/>
        <v>1.3370000000000033</v>
      </c>
      <c r="L18">
        <f t="shared" si="4"/>
        <v>4.093692590324566</v>
      </c>
    </row>
    <row r="19" spans="2:12" x14ac:dyDescent="0.25">
      <c r="B19" t="s">
        <v>14</v>
      </c>
      <c r="D19">
        <v>0.28921999999999998</v>
      </c>
      <c r="E19">
        <v>100</v>
      </c>
      <c r="F19">
        <f t="shared" si="1"/>
        <v>28.921999999999997</v>
      </c>
      <c r="H19" t="str">
        <f>_xlfn.WEBSERVICE("https://api.binance.com/api/v3/ticker/price?symbol=XLMUSDT")</f>
        <v>{"symbol":"XLMUSDT","price":"0.30310000"}</v>
      </c>
      <c r="I19" t="str">
        <f>MID(H19,FIND("price",H19,1)+8,(LEN(H19)-FIND("price",H19,1)-8)-1)</f>
        <v>0.30310000</v>
      </c>
      <c r="J19">
        <f t="shared" si="2"/>
        <v>30.31</v>
      </c>
      <c r="K19">
        <f t="shared" si="3"/>
        <v>1.3880000000000017</v>
      </c>
      <c r="L19">
        <f t="shared" si="4"/>
        <v>4.7991148606597118</v>
      </c>
    </row>
    <row r="20" spans="2:12" x14ac:dyDescent="0.25">
      <c r="B20" t="s">
        <v>30</v>
      </c>
      <c r="D20">
        <v>7.4200000000000002E-2</v>
      </c>
      <c r="E20">
        <v>3368.67</v>
      </c>
      <c r="F20">
        <f t="shared" si="1"/>
        <v>249.95531400000002</v>
      </c>
      <c r="H20" t="str">
        <f>_xlfn.WEBSERVICE("https://api.huobi.pro/market/trade?symbol=crousdt")</f>
        <v>{"ch":"market.crousdt.trade.detail","status":"ok","ts":1610900838631,"tick":{"id":100490292611,"ts":1610900837325,"data":[{"id":100490292611191179477553395,"ts":1610900837325,"trade-id":100021538620,"amount":1620.53,"price":0.0795,"direction":"sell"}]}}</v>
      </c>
      <c r="I20" t="str">
        <f>MID(H20,FIND("price",H20,1)+7,((FIND("direction",H20)-1)-(FIND("price",H20)+8)))</f>
        <v>0.0795</v>
      </c>
      <c r="J20">
        <f t="shared" si="2"/>
        <v>267.80926499999998</v>
      </c>
      <c r="K20">
        <f t="shared" si="3"/>
        <v>17.853950999999967</v>
      </c>
      <c r="L20">
        <f t="shared" si="4"/>
        <v>7.142857142857129</v>
      </c>
    </row>
  </sheetData>
  <conditionalFormatting sqref="K1:L1048576">
    <cfRule type="cellIs" dxfId="3" priority="3" operator="greaterThanOrEqual">
      <formula>10</formula>
    </cfRule>
    <cfRule type="cellIs" dxfId="4" priority="2" operator="lessThanOrEqual">
      <formula>0</formula>
    </cfRule>
    <cfRule type="cellIs" dxfId="5" priority="1" operator="between">
      <formula>0.000000001</formula>
      <formula>9.99999999999999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yatGuncelle">
                <anchor moveWithCells="1">
                  <from>
                    <xdr:col>7</xdr:col>
                    <xdr:colOff>723900</xdr:colOff>
                    <xdr:row>1</xdr:row>
                    <xdr:rowOff>142875</xdr:rowOff>
                  </from>
                  <to>
                    <xdr:col>7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guven</dc:creator>
  <cp:lastModifiedBy>guven</cp:lastModifiedBy>
  <dcterms:created xsi:type="dcterms:W3CDTF">2021-01-16T11:04:51Z</dcterms:created>
  <dcterms:modified xsi:type="dcterms:W3CDTF">2021-01-17T16:28:08Z</dcterms:modified>
</cp:coreProperties>
</file>